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Enuma Elish\Estudos\Cursos\Excel\Projetos\Planilha automatizada - Papelaria\"/>
    </mc:Choice>
  </mc:AlternateContent>
  <xr:revisionPtr revIDLastSave="0" documentId="13_ncr:1_{6386E6AE-93F0-466D-A052-2095F5C119EF}" xr6:coauthVersionLast="47" xr6:coauthVersionMax="47" xr10:uidLastSave="{00000000-0000-0000-0000-000000000000}"/>
  <bookViews>
    <workbookView xWindow="-120" yWindow="-120" windowWidth="29040" windowHeight="15720" activeTab="1" xr2:uid="{AC699561-5319-468A-B34F-E3163823608E}"/>
  </bookViews>
  <sheets>
    <sheet name="CADASTRO" sheetId="1" r:id="rId1"/>
    <sheet name="MOVIMENTACOES" sheetId="2" r:id="rId2"/>
    <sheet name="ESTOQU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E10" i="3"/>
  <c r="E3" i="3"/>
  <c r="E4" i="3"/>
  <c r="E5" i="3"/>
  <c r="E6" i="3"/>
  <c r="E7" i="3"/>
  <c r="E8" i="3"/>
  <c r="E9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" i="3"/>
  <c r="D3" i="3"/>
  <c r="F3" i="3" s="1"/>
  <c r="I3" i="3" s="1"/>
  <c r="D4" i="3"/>
  <c r="F4" i="3" s="1"/>
  <c r="D5" i="3"/>
  <c r="D6" i="3"/>
  <c r="F6" i="3" s="1"/>
  <c r="D7" i="3"/>
  <c r="F7" i="3" s="1"/>
  <c r="D8" i="3"/>
  <c r="D9" i="3"/>
  <c r="D10" i="3"/>
  <c r="D11" i="3"/>
  <c r="F11" i="3" s="1"/>
  <c r="I11" i="3" s="1"/>
  <c r="D12" i="3"/>
  <c r="D13" i="3"/>
  <c r="D14" i="3"/>
  <c r="D15" i="3"/>
  <c r="D16" i="3"/>
  <c r="D17" i="3"/>
  <c r="D18" i="3"/>
  <c r="D19" i="3"/>
  <c r="F19" i="3" s="1"/>
  <c r="I19" i="3" s="1"/>
  <c r="D20" i="3"/>
  <c r="F20" i="3" s="1"/>
  <c r="I20" i="3" s="1"/>
  <c r="D21" i="3"/>
  <c r="F21" i="3" s="1"/>
  <c r="D22" i="3"/>
  <c r="F22" i="3" s="1"/>
  <c r="D23" i="3"/>
  <c r="F23" i="3" s="1"/>
  <c r="D24" i="3"/>
  <c r="D25" i="3"/>
  <c r="D2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" i="3"/>
  <c r="I23" i="3" l="1"/>
  <c r="I22" i="3"/>
  <c r="I21" i="3"/>
  <c r="I7" i="3"/>
  <c r="I4" i="3"/>
  <c r="I6" i="3"/>
  <c r="F9" i="3"/>
  <c r="I9" i="3" s="1"/>
  <c r="F15" i="3"/>
  <c r="I15" i="3" s="1"/>
  <c r="F16" i="3"/>
  <c r="I16" i="3" s="1"/>
  <c r="F8" i="3"/>
  <c r="F24" i="3"/>
  <c r="H24" i="3" s="1"/>
  <c r="J24" i="3" s="1"/>
  <c r="F12" i="3"/>
  <c r="I12" i="3" s="1"/>
  <c r="F25" i="3"/>
  <c r="I25" i="3" s="1"/>
  <c r="F13" i="3"/>
  <c r="F18" i="3"/>
  <c r="F17" i="3"/>
  <c r="I17" i="3" s="1"/>
  <c r="F5" i="3"/>
  <c r="F26" i="3"/>
  <c r="F14" i="3"/>
  <c r="F2" i="3"/>
  <c r="I2" i="3" s="1"/>
  <c r="H21" i="3"/>
  <c r="J21" i="3" s="1"/>
  <c r="H7" i="3"/>
  <c r="J7" i="3" s="1"/>
  <c r="H11" i="3"/>
  <c r="J11" i="3" s="1"/>
  <c r="H22" i="3"/>
  <c r="J22" i="3" s="1"/>
  <c r="H20" i="3"/>
  <c r="J20" i="3" s="1"/>
  <c r="H19" i="3"/>
  <c r="J19" i="3" s="1"/>
  <c r="H6" i="3"/>
  <c r="J6" i="3" s="1"/>
  <c r="H4" i="3"/>
  <c r="J4" i="3" s="1"/>
  <c r="H23" i="3"/>
  <c r="J23" i="3" s="1"/>
  <c r="H3" i="3"/>
  <c r="J3" i="3" s="1"/>
  <c r="F10" i="3"/>
  <c r="H16" i="3" l="1"/>
  <c r="J16" i="3" s="1"/>
  <c r="H9" i="3"/>
  <c r="J9" i="3" s="1"/>
  <c r="H25" i="3"/>
  <c r="J25" i="3" s="1"/>
  <c r="H17" i="3"/>
  <c r="J17" i="3" s="1"/>
  <c r="H12" i="3"/>
  <c r="J12" i="3" s="1"/>
  <c r="H15" i="3"/>
  <c r="J15" i="3" s="1"/>
  <c r="H18" i="3"/>
  <c r="J18" i="3" s="1"/>
  <c r="I18" i="3"/>
  <c r="H13" i="3"/>
  <c r="J13" i="3" s="1"/>
  <c r="I13" i="3"/>
  <c r="H10" i="3"/>
  <c r="J10" i="3" s="1"/>
  <c r="I10" i="3"/>
  <c r="I14" i="3"/>
  <c r="H26" i="3"/>
  <c r="J26" i="3" s="1"/>
  <c r="I26" i="3"/>
  <c r="I24" i="3"/>
  <c r="H8" i="3"/>
  <c r="J8" i="3" s="1"/>
  <c r="I8" i="3"/>
  <c r="I5" i="3"/>
  <c r="H14" i="3"/>
  <c r="J14" i="3" s="1"/>
  <c r="H2" i="3"/>
  <c r="J2" i="3" s="1"/>
  <c r="H5" i="3"/>
  <c r="J5" i="3" s="1"/>
</calcChain>
</file>

<file path=xl/sharedStrings.xml><?xml version="1.0" encoding="utf-8"?>
<sst xmlns="http://schemas.openxmlformats.org/spreadsheetml/2006/main" count="159" uniqueCount="90">
  <si>
    <t>ID</t>
  </si>
  <si>
    <t>Material</t>
  </si>
  <si>
    <t>Categoria</t>
  </si>
  <si>
    <t>Unidade</t>
  </si>
  <si>
    <t>Estoque Inicial</t>
  </si>
  <si>
    <t>Estoque Mínimo</t>
  </si>
  <si>
    <t>Data</t>
  </si>
  <si>
    <t>Tipo</t>
  </si>
  <si>
    <t>Quantidade</t>
  </si>
  <si>
    <t>Observação</t>
  </si>
  <si>
    <t>Entrada</t>
  </si>
  <si>
    <t>MAT001</t>
  </si>
  <si>
    <t>Insumos</t>
  </si>
  <si>
    <t>Folhas</t>
  </si>
  <si>
    <t>Total Entradas</t>
  </si>
  <si>
    <t>Total Saídas</t>
  </si>
  <si>
    <t>Estoque Atual</t>
  </si>
  <si>
    <t>Situação</t>
  </si>
  <si>
    <t>Necessidade Reposição</t>
  </si>
  <si>
    <t>MAT002</t>
  </si>
  <si>
    <t>MAT003</t>
  </si>
  <si>
    <t>MAT004</t>
  </si>
  <si>
    <t>MAT005</t>
  </si>
  <si>
    <t>Papel Fotográfico A4</t>
  </si>
  <si>
    <t>Tinta Preta</t>
  </si>
  <si>
    <t>Acessórios</t>
  </si>
  <si>
    <t>Embalagem</t>
  </si>
  <si>
    <t>Unidades</t>
  </si>
  <si>
    <t>Metros</t>
  </si>
  <si>
    <t>Pacotes</t>
  </si>
  <si>
    <t>Rolos</t>
  </si>
  <si>
    <t>MAT006</t>
  </si>
  <si>
    <t>MAT007</t>
  </si>
  <si>
    <t>MAT008</t>
  </si>
  <si>
    <t>MAT009</t>
  </si>
  <si>
    <t>MAT010</t>
  </si>
  <si>
    <t>MAT011</t>
  </si>
  <si>
    <t>MAT012</t>
  </si>
  <si>
    <t>MAT013</t>
  </si>
  <si>
    <t>MAT014</t>
  </si>
  <si>
    <t>MAT015</t>
  </si>
  <si>
    <t>MAT016</t>
  </si>
  <si>
    <t>MAT017</t>
  </si>
  <si>
    <t>MAT018</t>
  </si>
  <si>
    <t>MAT019</t>
  </si>
  <si>
    <t>MAT020</t>
  </si>
  <si>
    <t>MAT021</t>
  </si>
  <si>
    <t>MAT022</t>
  </si>
  <si>
    <t>MAT023</t>
  </si>
  <si>
    <t>MAT024</t>
  </si>
  <si>
    <t>MAT025</t>
  </si>
  <si>
    <t>Papel Fotográfico A3</t>
  </si>
  <si>
    <t>Tinta Colorida (Ciano)</t>
  </si>
  <si>
    <t>Tinta Colorida (Magenta)</t>
  </si>
  <si>
    <t>Tinta Colorida (Amarelo)</t>
  </si>
  <si>
    <t>Cordão de Nylon 2mm</t>
  </si>
  <si>
    <t>Cordão de Nylon 4mm</t>
  </si>
  <si>
    <t>Cordão de Nylon 6mm</t>
  </si>
  <si>
    <t>Embalagem Plástica Pequena</t>
  </si>
  <si>
    <t>Embalagem Plástica Média</t>
  </si>
  <si>
    <t>Embalagem Plástica Grande</t>
  </si>
  <si>
    <t>Rolo de Adesivo Transparente</t>
  </si>
  <si>
    <t>Rolo de Adesivo Dupla Face</t>
  </si>
  <si>
    <t>Fita Crepe 24mm</t>
  </si>
  <si>
    <t>Fita Crepe 48mm</t>
  </si>
  <si>
    <t>Cola Branca 500ml</t>
  </si>
  <si>
    <t>Litros</t>
  </si>
  <si>
    <t>Cola Quente (Bastão)</t>
  </si>
  <si>
    <t>Papel Cartão A4</t>
  </si>
  <si>
    <t>Caixa de Armazenamento (Pequena)</t>
  </si>
  <si>
    <t>Caixas</t>
  </si>
  <si>
    <t>Caixa de Armazenamento (Média)</t>
  </si>
  <si>
    <t>Caixa de Armazenamento (Grande)</t>
  </si>
  <si>
    <t>Fio de Cobre 0,5mm</t>
  </si>
  <si>
    <t>Placa de MDF 3mm</t>
  </si>
  <si>
    <t>Placa de MDF 6mm</t>
  </si>
  <si>
    <t>Compra mensal - Fornecedor Papelaria SP</t>
  </si>
  <si>
    <t>Saída</t>
  </si>
  <si>
    <t>Venda - Cliente Ana Silva - Pedido #123</t>
  </si>
  <si>
    <t>NF 98765 - Distribuidora Tintas Brasil</t>
  </si>
  <si>
    <t>Consumo interno - Setor de Impressão</t>
  </si>
  <si>
    <t>Reposição - Pedido #321</t>
  </si>
  <si>
    <t>Venda - Cliente Carlos Santos - Projeto artesanal</t>
  </si>
  <si>
    <t>Perda - 3 Unidades danificadas + 5 quebradas</t>
  </si>
  <si>
    <t>Compra emergencial - Fornecedor X</t>
  </si>
  <si>
    <t>Uso interno - Preparação de pedidos</t>
  </si>
  <si>
    <t>Compra mensal - NF 11223</t>
  </si>
  <si>
    <t>Venda - Cliente Mercado Livre - Pedido #789</t>
  </si>
  <si>
    <t>Devolução - Cliente devolveu excedente</t>
  </si>
  <si>
    <t>Lista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</si>
</sst>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  <border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1E1E0-5670-4DC8-B6C7-602E498A423D}" name="Tabela1" displayName="Tabela1" ref="A1:F26" totalsRowShown="0" headerRowDxfId="22" dataDxfId="21">
  <autoFilter ref="A1:F26" xr:uid="{8B71E1E0-5670-4DC8-B6C7-602E498A423D}"/>
  <tableColumns count="6">
    <tableColumn id="1" xr3:uid="{34662426-E4F1-4E75-8E25-ED14972DBA6D}" name="ID" dataDxfId="20"/>
    <tableColumn id="2" xr3:uid="{D7FEBA3B-2ABE-4569-BD0C-25B274379A6E}" name="Material" dataDxfId="19"/>
    <tableColumn id="3" xr3:uid="{A3D535A6-5863-4C23-B9CD-2EDB1B21671F}" name="Categoria" dataDxfId="18"/>
    <tableColumn id="4" xr3:uid="{15EEA344-0C2D-401D-A79E-C3722598CCC6}" name="Unidade" dataDxfId="17"/>
    <tableColumn id="5" xr3:uid="{838C1189-7B42-46D4-8C3D-D5E03F3DAA30}" name="Estoque Inicial" dataDxfId="16"/>
    <tableColumn id="6" xr3:uid="{32E6F9F9-75AE-4B07-8148-DA55A222312D}" name="Estoque Mínimo" dataDxfId="1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A949A2-DB5F-477F-8AE0-EB4FE8B6F81B}" name="Tabela3" displayName="Tabela3" ref="A1:E31" totalsRowShown="0" headerRowDxfId="14">
  <autoFilter ref="A1:E31" xr:uid="{6BA949A2-DB5F-477F-8AE0-EB4FE8B6F81B}"/>
  <sortState xmlns:xlrd2="http://schemas.microsoft.com/office/spreadsheetml/2017/richdata2" ref="A2:E31">
    <sortCondition ref="A1:A31"/>
  </sortState>
  <tableColumns count="5">
    <tableColumn id="1" xr3:uid="{E409C3D0-6180-4F43-8167-0C7D514CC53B}" name="Data" dataDxfId="13"/>
    <tableColumn id="2" xr3:uid="{E00512BF-E5EB-4E9A-A2F0-00558427D3C5}" name="Material"/>
    <tableColumn id="3" xr3:uid="{3B261EED-5833-4F9F-8766-7400AEB50D4A}" name="Tipo"/>
    <tableColumn id="4" xr3:uid="{6A870BF6-D152-40A1-ADA5-A9E33E38D120}" name="Quantidade"/>
    <tableColumn id="5" xr3:uid="{2E7E2E25-B1C8-4577-9E6D-502664997CA5}" name="Observaçã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E07A9C-4C67-41EC-B7BC-E4FD2C1AEE09}" name="Tabela2" displayName="Tabela2" ref="A1:J26" totalsRowShown="0" headerRowDxfId="12" dataDxfId="11">
  <autoFilter ref="A1:J26" xr:uid="{DDE07A9C-4C67-41EC-B7BC-E4FD2C1AEE09}"/>
  <tableColumns count="10">
    <tableColumn id="1" xr3:uid="{EF617F33-CB36-4CA6-A8C7-8A0B23C648A1}" name="ID" dataDxfId="10">
      <calculatedColumnFormula>CADASTRO!A2</calculatedColumnFormula>
    </tableColumn>
    <tableColumn id="2" xr3:uid="{ED033224-F9F9-4E4B-80B4-228BFB57581A}" name="Material" dataDxfId="9">
      <calculatedColumnFormula>CADASTRO!B2</calculatedColumnFormula>
    </tableColumn>
    <tableColumn id="3" xr3:uid="{4097F9E4-9847-4304-A388-CABC5EF92E1E}" name="Estoque Inicial" dataDxfId="8">
      <calculatedColumnFormula>CADASTRO!E2</calculatedColumnFormula>
    </tableColumn>
    <tableColumn id="4" xr3:uid="{30FE0B15-BE14-49AE-903B-826340EE1073}" name="Total Entradas" dataDxfId="7">
      <calculatedColumnFormula>SUMIFS(MOVIMENTACOES!D:D, MOVIMENTACOES!B:B, B2, MOVIMENTACOES!C:C, "Entrada")</calculatedColumnFormula>
    </tableColumn>
    <tableColumn id="5" xr3:uid="{77DCA479-5CA7-42EA-992F-E8310AF2680A}" name="Total Saídas" dataDxfId="6">
      <calculatedColumnFormula>SUMIFS(MOVIMENTACOES!D:D, MOVIMENTACOES!B:B, B2, MOVIMENTACOES!C:C,"Saída")</calculatedColumnFormula>
    </tableColumn>
    <tableColumn id="6" xr3:uid="{1E934520-8BBD-436C-BCEA-8A8D5048B433}" name="Estoque Atual" dataDxfId="5">
      <calculatedColumnFormula>C2 + D2 - E2</calculatedColumnFormula>
    </tableColumn>
    <tableColumn id="7" xr3:uid="{091F5ED7-50DD-449C-896E-93650C733852}" name="Estoque Mínimo" dataDxfId="4">
      <calculatedColumnFormula>CADASTRO!F2</calculatedColumnFormula>
    </tableColumn>
    <tableColumn id="8" xr3:uid="{8E91337F-0E40-46A3-8F4E-64EA5828387C}" name="Situação" dataDxfId="3">
      <calculatedColumnFormula>IF(F2=0, "ZERADO", IF(F2 &lt;= G2, "BAIXO", "NORMAL"))</calculatedColumnFormula>
    </tableColumn>
    <tableColumn id="9" xr3:uid="{7AE9BF3C-4212-4F6E-AA7C-D5BE6B7655BC}" name="Necessidade Reposição" dataDxfId="2">
      <calculatedColumnFormula>IF(F2 &lt; G2, G2 - F2, "0")</calculatedColumnFormula>
    </tableColumn>
    <tableColumn id="10" xr3:uid="{D0BBC9E6-9456-4841-8913-936F6299849F}" name="Lista de Compras" dataDxfId="1">
      <calculatedColumnFormula>IF(H2="BAIXO","Comprar","Não comprar")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D0DF-D02D-4CC8-9B4A-1FF219389408}">
  <dimension ref="A1:F26"/>
  <sheetViews>
    <sheetView workbookViewId="0">
      <pane ySplit="1" topLeftCell="A2" activePane="bottomLeft" state="frozen"/>
      <selection pane="bottomLeft" activeCell="C69" sqref="C69"/>
    </sheetView>
  </sheetViews>
  <sheetFormatPr defaultRowHeight="15"/>
  <cols>
    <col min="1" max="1" width="15.28515625" customWidth="1"/>
    <col min="2" max="2" width="42" bestFit="1" customWidth="1"/>
    <col min="3" max="3" width="18.28515625" customWidth="1"/>
    <col min="4" max="4" width="19.42578125" customWidth="1"/>
    <col min="5" max="5" width="24.5703125" customWidth="1"/>
    <col min="6" max="6" width="27.85546875" customWidth="1"/>
  </cols>
  <sheetData>
    <row r="1" spans="1:6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.75">
      <c r="A2" s="2" t="s">
        <v>11</v>
      </c>
      <c r="B2" s="2" t="s">
        <v>23</v>
      </c>
      <c r="C2" s="2" t="s">
        <v>12</v>
      </c>
      <c r="D2" s="2" t="s">
        <v>13</v>
      </c>
      <c r="E2" s="2">
        <v>200</v>
      </c>
      <c r="F2" s="2">
        <v>50</v>
      </c>
    </row>
    <row r="3" spans="1:6" ht="18.75">
      <c r="A3" s="2" t="s">
        <v>19</v>
      </c>
      <c r="B3" s="2" t="s">
        <v>51</v>
      </c>
      <c r="C3" s="2" t="s">
        <v>12</v>
      </c>
      <c r="D3" s="2" t="s">
        <v>13</v>
      </c>
      <c r="E3" s="2">
        <v>100</v>
      </c>
      <c r="F3" s="2">
        <v>20</v>
      </c>
    </row>
    <row r="4" spans="1:6" ht="18.75">
      <c r="A4" s="2" t="s">
        <v>20</v>
      </c>
      <c r="B4" s="2" t="s">
        <v>24</v>
      </c>
      <c r="C4" s="2" t="s">
        <v>12</v>
      </c>
      <c r="D4" s="2" t="s">
        <v>27</v>
      </c>
      <c r="E4" s="2">
        <v>12</v>
      </c>
      <c r="F4" s="2">
        <v>10</v>
      </c>
    </row>
    <row r="5" spans="1:6" ht="18.75">
      <c r="A5" s="2" t="s">
        <v>21</v>
      </c>
      <c r="B5" s="2" t="s">
        <v>52</v>
      </c>
      <c r="C5" s="2" t="s">
        <v>12</v>
      </c>
      <c r="D5" s="2" t="s">
        <v>27</v>
      </c>
      <c r="E5" s="2">
        <v>8</v>
      </c>
      <c r="F5" s="2">
        <v>10</v>
      </c>
    </row>
    <row r="6" spans="1:6" ht="18.75">
      <c r="A6" s="2" t="s">
        <v>22</v>
      </c>
      <c r="B6" s="2" t="s">
        <v>53</v>
      </c>
      <c r="C6" s="2" t="s">
        <v>12</v>
      </c>
      <c r="D6" s="2" t="s">
        <v>27</v>
      </c>
      <c r="E6" s="2">
        <v>8</v>
      </c>
      <c r="F6" s="2">
        <v>10</v>
      </c>
    </row>
    <row r="7" spans="1:6" ht="18.75">
      <c r="A7" s="2" t="s">
        <v>31</v>
      </c>
      <c r="B7" s="2" t="s">
        <v>54</v>
      </c>
      <c r="C7" s="2" t="s">
        <v>12</v>
      </c>
      <c r="D7" s="2" t="s">
        <v>27</v>
      </c>
      <c r="E7" s="2">
        <v>8</v>
      </c>
      <c r="F7" s="2">
        <v>10</v>
      </c>
    </row>
    <row r="8" spans="1:6" ht="18.75">
      <c r="A8" s="2" t="s">
        <v>32</v>
      </c>
      <c r="B8" s="2" t="s">
        <v>55</v>
      </c>
      <c r="C8" s="2" t="s">
        <v>25</v>
      </c>
      <c r="D8" s="2" t="s">
        <v>28</v>
      </c>
      <c r="E8" s="2">
        <v>150</v>
      </c>
      <c r="F8" s="2">
        <v>30</v>
      </c>
    </row>
    <row r="9" spans="1:6" ht="18.75">
      <c r="A9" s="2" t="s">
        <v>33</v>
      </c>
      <c r="B9" s="2" t="s">
        <v>56</v>
      </c>
      <c r="C9" s="2" t="s">
        <v>25</v>
      </c>
      <c r="D9" s="2" t="s">
        <v>28</v>
      </c>
      <c r="E9" s="2">
        <v>80</v>
      </c>
      <c r="F9" s="2">
        <v>15</v>
      </c>
    </row>
    <row r="10" spans="1:6" ht="18.75">
      <c r="A10" s="2" t="s">
        <v>34</v>
      </c>
      <c r="B10" s="2" t="s">
        <v>57</v>
      </c>
      <c r="C10" s="2" t="s">
        <v>25</v>
      </c>
      <c r="D10" s="2" t="s">
        <v>28</v>
      </c>
      <c r="E10" s="2">
        <v>50</v>
      </c>
      <c r="F10" s="2">
        <v>10</v>
      </c>
    </row>
    <row r="11" spans="1:6" ht="18.75">
      <c r="A11" s="2" t="s">
        <v>35</v>
      </c>
      <c r="B11" s="2" t="s">
        <v>58</v>
      </c>
      <c r="C11" s="2" t="s">
        <v>26</v>
      </c>
      <c r="D11" s="2" t="s">
        <v>29</v>
      </c>
      <c r="E11" s="2">
        <v>40</v>
      </c>
      <c r="F11" s="2">
        <v>10</v>
      </c>
    </row>
    <row r="12" spans="1:6" ht="18.75">
      <c r="A12" s="2" t="s">
        <v>36</v>
      </c>
      <c r="B12" s="2" t="s">
        <v>59</v>
      </c>
      <c r="C12" s="2" t="s">
        <v>26</v>
      </c>
      <c r="D12" s="2" t="s">
        <v>29</v>
      </c>
      <c r="E12" s="2">
        <v>25</v>
      </c>
      <c r="F12" s="2">
        <v>10</v>
      </c>
    </row>
    <row r="13" spans="1:6" ht="18.75">
      <c r="A13" s="2" t="s">
        <v>37</v>
      </c>
      <c r="B13" s="2" t="s">
        <v>60</v>
      </c>
      <c r="C13" s="2" t="s">
        <v>26</v>
      </c>
      <c r="D13" s="2" t="s">
        <v>29</v>
      </c>
      <c r="E13" s="2">
        <v>15</v>
      </c>
      <c r="F13" s="2">
        <v>10</v>
      </c>
    </row>
    <row r="14" spans="1:6" ht="18.75">
      <c r="A14" s="2" t="s">
        <v>38</v>
      </c>
      <c r="B14" s="2" t="s">
        <v>61</v>
      </c>
      <c r="C14" s="2" t="s">
        <v>12</v>
      </c>
      <c r="D14" s="2" t="s">
        <v>30</v>
      </c>
      <c r="E14" s="2">
        <v>20</v>
      </c>
      <c r="F14" s="2">
        <v>10</v>
      </c>
    </row>
    <row r="15" spans="1:6" ht="18.75">
      <c r="A15" s="2" t="s">
        <v>39</v>
      </c>
      <c r="B15" s="2" t="s">
        <v>62</v>
      </c>
      <c r="C15" s="2" t="s">
        <v>12</v>
      </c>
      <c r="D15" s="2" t="s">
        <v>30</v>
      </c>
      <c r="E15" s="2">
        <v>12</v>
      </c>
      <c r="F15" s="2">
        <v>10</v>
      </c>
    </row>
    <row r="16" spans="1:6" ht="18.75">
      <c r="A16" s="2" t="s">
        <v>40</v>
      </c>
      <c r="B16" s="2" t="s">
        <v>63</v>
      </c>
      <c r="C16" s="2" t="s">
        <v>12</v>
      </c>
      <c r="D16" s="2" t="s">
        <v>30</v>
      </c>
      <c r="E16" s="2">
        <v>30</v>
      </c>
      <c r="F16" s="2">
        <v>8</v>
      </c>
    </row>
    <row r="17" spans="1:6" ht="18.75">
      <c r="A17" s="2" t="s">
        <v>41</v>
      </c>
      <c r="B17" s="2" t="s">
        <v>64</v>
      </c>
      <c r="C17" s="2" t="s">
        <v>12</v>
      </c>
      <c r="D17" s="2" t="s">
        <v>30</v>
      </c>
      <c r="E17" s="2">
        <v>20</v>
      </c>
      <c r="F17" s="2">
        <v>10</v>
      </c>
    </row>
    <row r="18" spans="1:6" ht="18.75">
      <c r="A18" s="2" t="s">
        <v>42</v>
      </c>
      <c r="B18" s="2" t="s">
        <v>65</v>
      </c>
      <c r="C18" s="2" t="s">
        <v>12</v>
      </c>
      <c r="D18" s="2" t="s">
        <v>66</v>
      </c>
      <c r="E18" s="2">
        <v>10</v>
      </c>
      <c r="F18" s="2">
        <v>15</v>
      </c>
    </row>
    <row r="19" spans="1:6" ht="18.75">
      <c r="A19" s="2" t="s">
        <v>43</v>
      </c>
      <c r="B19" s="2" t="s">
        <v>67</v>
      </c>
      <c r="C19" s="2" t="s">
        <v>12</v>
      </c>
      <c r="D19" s="2" t="s">
        <v>27</v>
      </c>
      <c r="E19" s="2">
        <v>50</v>
      </c>
      <c r="F19" s="2">
        <v>10</v>
      </c>
    </row>
    <row r="20" spans="1:6" ht="18.75">
      <c r="A20" s="2" t="s">
        <v>44</v>
      </c>
      <c r="B20" s="2" t="s">
        <v>68</v>
      </c>
      <c r="C20" s="2" t="s">
        <v>12</v>
      </c>
      <c r="D20" s="2" t="s">
        <v>13</v>
      </c>
      <c r="E20" s="2">
        <v>300</v>
      </c>
      <c r="F20" s="2">
        <v>50</v>
      </c>
    </row>
    <row r="21" spans="1:6" ht="18.75">
      <c r="A21" s="2" t="s">
        <v>45</v>
      </c>
      <c r="B21" s="2" t="s">
        <v>69</v>
      </c>
      <c r="C21" s="2" t="s">
        <v>26</v>
      </c>
      <c r="D21" s="2" t="s">
        <v>70</v>
      </c>
      <c r="E21" s="2">
        <v>15</v>
      </c>
      <c r="F21" s="2">
        <v>10</v>
      </c>
    </row>
    <row r="22" spans="1:6" ht="18.75">
      <c r="A22" s="2" t="s">
        <v>46</v>
      </c>
      <c r="B22" s="2" t="s">
        <v>71</v>
      </c>
      <c r="C22" s="2" t="s">
        <v>26</v>
      </c>
      <c r="D22" s="2" t="s">
        <v>70</v>
      </c>
      <c r="E22" s="2">
        <v>10</v>
      </c>
      <c r="F22" s="2">
        <v>15</v>
      </c>
    </row>
    <row r="23" spans="1:6" ht="18.75">
      <c r="A23" s="2" t="s">
        <v>47</v>
      </c>
      <c r="B23" s="2" t="s">
        <v>72</v>
      </c>
      <c r="C23" s="2" t="s">
        <v>26</v>
      </c>
      <c r="D23" s="2" t="s">
        <v>70</v>
      </c>
      <c r="E23" s="2">
        <v>6</v>
      </c>
      <c r="F23" s="2">
        <v>10</v>
      </c>
    </row>
    <row r="24" spans="1:6" ht="18.75">
      <c r="A24" s="2" t="s">
        <v>48</v>
      </c>
      <c r="B24" s="2" t="s">
        <v>73</v>
      </c>
      <c r="C24" s="2" t="s">
        <v>25</v>
      </c>
      <c r="D24" s="2" t="s">
        <v>28</v>
      </c>
      <c r="E24" s="2">
        <v>200</v>
      </c>
      <c r="F24" s="2">
        <v>60</v>
      </c>
    </row>
    <row r="25" spans="1:6" ht="18.75">
      <c r="A25" s="2" t="s">
        <v>49</v>
      </c>
      <c r="B25" s="2" t="s">
        <v>74</v>
      </c>
      <c r="C25" s="2" t="s">
        <v>12</v>
      </c>
      <c r="D25" s="2" t="s">
        <v>27</v>
      </c>
      <c r="E25" s="2">
        <v>25</v>
      </c>
      <c r="F25" s="2">
        <v>10</v>
      </c>
    </row>
    <row r="26" spans="1:6" ht="18.75">
      <c r="A26" s="2" t="s">
        <v>50</v>
      </c>
      <c r="B26" s="2" t="s">
        <v>75</v>
      </c>
      <c r="C26" s="2" t="s">
        <v>12</v>
      </c>
      <c r="D26" s="2" t="s">
        <v>27</v>
      </c>
      <c r="E26" s="2">
        <v>15</v>
      </c>
      <c r="F26" s="2">
        <v>10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B500-E2E3-4F34-98FE-D2D39C1437E7}">
  <dimension ref="A1:E31"/>
  <sheetViews>
    <sheetView tabSelected="1" zoomScale="130" zoomScaleNormal="130" workbookViewId="0">
      <pane ySplit="1" topLeftCell="A2" activePane="bottomLeft" state="frozen"/>
      <selection pane="bottomLeft" activeCell="D2" sqref="D1:D1048576"/>
    </sheetView>
  </sheetViews>
  <sheetFormatPr defaultRowHeight="15"/>
  <cols>
    <col min="1" max="1" width="14.85546875" customWidth="1"/>
    <col min="2" max="2" width="27.5703125" customWidth="1"/>
    <col min="3" max="3" width="14.7109375" customWidth="1"/>
    <col min="4" max="4" width="15.7109375" customWidth="1"/>
    <col min="5" max="5" width="42.85546875" customWidth="1"/>
  </cols>
  <sheetData>
    <row r="1" spans="1:5">
      <c r="A1" s="3" t="s">
        <v>6</v>
      </c>
      <c r="B1" s="3" t="s">
        <v>1</v>
      </c>
      <c r="C1" s="3" t="s">
        <v>7</v>
      </c>
      <c r="D1" s="3" t="s">
        <v>8</v>
      </c>
      <c r="E1" s="3" t="s">
        <v>9</v>
      </c>
    </row>
    <row r="2" spans="1:5">
      <c r="A2" s="1">
        <v>46235</v>
      </c>
      <c r="B2" s="3" t="s">
        <v>23</v>
      </c>
      <c r="C2" s="3" t="s">
        <v>10</v>
      </c>
      <c r="D2" s="3">
        <v>100</v>
      </c>
      <c r="E2" s="3" t="s">
        <v>76</v>
      </c>
    </row>
    <row r="3" spans="1:5">
      <c r="A3" s="1">
        <v>46239</v>
      </c>
      <c r="B3" s="3" t="s">
        <v>23</v>
      </c>
      <c r="C3" s="3" t="s">
        <v>77</v>
      </c>
      <c r="D3" s="3">
        <v>290</v>
      </c>
      <c r="E3" s="3" t="s">
        <v>78</v>
      </c>
    </row>
    <row r="4" spans="1:5">
      <c r="A4" s="1">
        <v>46244</v>
      </c>
      <c r="B4" s="3" t="s">
        <v>24</v>
      </c>
      <c r="C4" s="3" t="s">
        <v>10</v>
      </c>
      <c r="D4" s="3">
        <v>6</v>
      </c>
      <c r="E4" s="3" t="s">
        <v>79</v>
      </c>
    </row>
    <row r="5" spans="1:5">
      <c r="A5" s="1">
        <v>46246</v>
      </c>
      <c r="B5" s="3" t="s">
        <v>24</v>
      </c>
      <c r="C5" s="3" t="s">
        <v>77</v>
      </c>
      <c r="D5" s="3">
        <v>15</v>
      </c>
      <c r="E5" s="3" t="s">
        <v>80</v>
      </c>
    </row>
    <row r="6" spans="1:5">
      <c r="A6" s="1">
        <v>46249</v>
      </c>
      <c r="B6" s="3" t="s">
        <v>55</v>
      </c>
      <c r="C6" s="3" t="s">
        <v>10</v>
      </c>
      <c r="D6" s="3">
        <v>50</v>
      </c>
      <c r="E6" s="3" t="s">
        <v>81</v>
      </c>
    </row>
    <row r="7" spans="1:5">
      <c r="A7" s="1">
        <v>46249</v>
      </c>
      <c r="B7" s="3" t="s">
        <v>62</v>
      </c>
      <c r="C7" s="3" t="s">
        <v>77</v>
      </c>
      <c r="D7" s="3">
        <v>9</v>
      </c>
      <c r="E7" s="3"/>
    </row>
    <row r="8" spans="1:5">
      <c r="A8" s="1">
        <v>46252</v>
      </c>
      <c r="B8" s="3" t="s">
        <v>55</v>
      </c>
      <c r="C8" s="3" t="s">
        <v>77</v>
      </c>
      <c r="D8" s="3">
        <v>180</v>
      </c>
      <c r="E8" s="3" t="s">
        <v>82</v>
      </c>
    </row>
    <row r="9" spans="1:5">
      <c r="A9" s="1">
        <v>46254</v>
      </c>
      <c r="B9" s="3" t="s">
        <v>58</v>
      </c>
      <c r="C9" s="3" t="s">
        <v>77</v>
      </c>
      <c r="D9" s="3">
        <v>35</v>
      </c>
      <c r="E9" s="3" t="s">
        <v>83</v>
      </c>
    </row>
    <row r="10" spans="1:5">
      <c r="A10" s="1">
        <v>46256</v>
      </c>
      <c r="B10" s="3" t="s">
        <v>61</v>
      </c>
      <c r="C10" s="3" t="s">
        <v>10</v>
      </c>
      <c r="D10" s="3">
        <v>20</v>
      </c>
      <c r="E10" s="3" t="s">
        <v>84</v>
      </c>
    </row>
    <row r="11" spans="1:5">
      <c r="A11" s="1">
        <v>46259</v>
      </c>
      <c r="B11" s="3" t="s">
        <v>61</v>
      </c>
      <c r="C11" s="3" t="s">
        <v>77</v>
      </c>
      <c r="D11" s="3">
        <v>5</v>
      </c>
      <c r="E11" s="3" t="s">
        <v>85</v>
      </c>
    </row>
    <row r="12" spans="1:5">
      <c r="A12" s="1">
        <v>46262</v>
      </c>
      <c r="B12" s="3" t="s">
        <v>63</v>
      </c>
      <c r="C12" s="3" t="s">
        <v>10</v>
      </c>
      <c r="D12" s="3">
        <v>30</v>
      </c>
      <c r="E12" s="3" t="s">
        <v>86</v>
      </c>
    </row>
    <row r="13" spans="1:5">
      <c r="A13" s="1">
        <v>46264</v>
      </c>
      <c r="B13" s="3" t="s">
        <v>63</v>
      </c>
      <c r="C13" s="3" t="s">
        <v>77</v>
      </c>
      <c r="D13" s="3">
        <v>3</v>
      </c>
      <c r="E13" s="3" t="s">
        <v>87</v>
      </c>
    </row>
    <row r="14" spans="1:5">
      <c r="A14" s="1">
        <v>46265</v>
      </c>
      <c r="B14" s="3" t="s">
        <v>74</v>
      </c>
      <c r="C14" s="3" t="s">
        <v>10</v>
      </c>
      <c r="D14" s="3">
        <v>10</v>
      </c>
      <c r="E14" s="3" t="s">
        <v>88</v>
      </c>
    </row>
    <row r="15" spans="1:5">
      <c r="A15" s="1"/>
      <c r="B15" s="3"/>
      <c r="C15" s="3"/>
      <c r="D15" s="3"/>
      <c r="E15" s="3"/>
    </row>
    <row r="16" spans="1:5">
      <c r="A16" s="1"/>
      <c r="B16" s="3"/>
      <c r="C16" s="3"/>
      <c r="D16" s="3"/>
      <c r="E16" s="3"/>
    </row>
    <row r="17" spans="1:5">
      <c r="A17" s="1"/>
      <c r="B17" s="3"/>
      <c r="C17" s="3"/>
      <c r="D17" s="3"/>
      <c r="E17" s="3"/>
    </row>
    <row r="18" spans="1:5">
      <c r="A18" s="1"/>
      <c r="B18" s="3"/>
      <c r="C18" s="3"/>
      <c r="D18" s="3"/>
      <c r="E18" s="3"/>
    </row>
    <row r="19" spans="1:5">
      <c r="A19" s="1"/>
      <c r="B19" s="3"/>
      <c r="C19" s="3"/>
      <c r="D19" s="3"/>
      <c r="E19" s="3"/>
    </row>
    <row r="20" spans="1:5">
      <c r="A20" s="1"/>
      <c r="B20" s="3"/>
      <c r="C20" s="3"/>
      <c r="D20" s="3"/>
      <c r="E20" s="3"/>
    </row>
    <row r="21" spans="1:5">
      <c r="A21" s="1"/>
      <c r="B21" s="3"/>
      <c r="C21" s="3"/>
      <c r="D21" s="3"/>
      <c r="E21" s="3"/>
    </row>
    <row r="22" spans="1:5">
      <c r="A22" s="1"/>
      <c r="B22" s="3"/>
      <c r="C22" s="3"/>
      <c r="D22" s="3"/>
      <c r="E22" s="3"/>
    </row>
    <row r="23" spans="1:5">
      <c r="A23" s="1"/>
      <c r="B23" s="3"/>
      <c r="C23" s="3"/>
      <c r="D23" s="3"/>
      <c r="E23" s="3"/>
    </row>
    <row r="24" spans="1:5">
      <c r="A24" s="1"/>
      <c r="B24" s="3"/>
      <c r="C24" s="3"/>
      <c r="D24" s="3"/>
      <c r="E24" s="3"/>
    </row>
    <row r="25" spans="1:5">
      <c r="A25" s="1"/>
      <c r="B25" s="3"/>
      <c r="C25" s="3"/>
      <c r="D25" s="3"/>
      <c r="E25" s="3"/>
    </row>
    <row r="26" spans="1:5">
      <c r="A26" s="1"/>
      <c r="B26" s="3"/>
      <c r="C26" s="3"/>
      <c r="D26" s="3"/>
      <c r="E26" s="3"/>
    </row>
    <row r="27" spans="1:5">
      <c r="A27" s="1"/>
      <c r="B27" s="3"/>
      <c r="C27" s="3"/>
      <c r="D27" s="3"/>
      <c r="E27" s="3"/>
    </row>
    <row r="28" spans="1:5">
      <c r="A28" s="1"/>
      <c r="B28" s="3"/>
      <c r="C28" s="3"/>
      <c r="D28" s="3"/>
      <c r="E28" s="3"/>
    </row>
    <row r="29" spans="1:5">
      <c r="A29" s="1"/>
      <c r="B29" s="3"/>
      <c r="C29" s="3"/>
      <c r="D29" s="3"/>
      <c r="E29" s="3"/>
    </row>
    <row r="30" spans="1:5">
      <c r="A30" s="1"/>
      <c r="B30" s="3"/>
      <c r="C30" s="3"/>
      <c r="D30" s="3"/>
      <c r="E30" s="3"/>
    </row>
    <row r="31" spans="1:5">
      <c r="A31" s="1"/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9796B1AC-9F1A-4472-9E43-396D7C7BF646}">
          <x14:formula1>
            <xm:f>CADASTRO!$B$2:$B$26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A8BC-518C-4EC6-A340-8B1C387C46C7}">
  <dimension ref="A1:J26"/>
  <sheetViews>
    <sheetView zoomScale="115" zoomScaleNormal="115" workbookViewId="0">
      <pane ySplit="1" topLeftCell="A2" activePane="bottomLeft" state="frozen"/>
      <selection pane="bottomLeft" activeCell="E10" sqref="E10"/>
    </sheetView>
  </sheetViews>
  <sheetFormatPr defaultRowHeight="15"/>
  <cols>
    <col min="1" max="1" width="16.5703125" bestFit="1" customWidth="1"/>
    <col min="2" max="2" width="34.140625" bestFit="1" customWidth="1"/>
    <col min="3" max="3" width="21.140625" customWidth="1"/>
    <col min="4" max="4" width="19.5703125" customWidth="1"/>
    <col min="5" max="5" width="18.7109375" customWidth="1"/>
    <col min="6" max="6" width="18.42578125" customWidth="1"/>
    <col min="7" max="7" width="21" customWidth="1"/>
    <col min="8" max="8" width="17.5703125" customWidth="1"/>
    <col min="9" max="9" width="22.5703125" customWidth="1"/>
    <col min="10" max="10" width="22" customWidth="1"/>
  </cols>
  <sheetData>
    <row r="1" spans="1:10">
      <c r="A1" s="6" t="s">
        <v>0</v>
      </c>
      <c r="B1" s="6" t="s">
        <v>1</v>
      </c>
      <c r="C1" s="6" t="s">
        <v>4</v>
      </c>
      <c r="D1" s="6" t="s">
        <v>14</v>
      </c>
      <c r="E1" s="6" t="s">
        <v>15</v>
      </c>
      <c r="F1" s="6" t="s">
        <v>16</v>
      </c>
      <c r="G1" s="6" t="s">
        <v>5</v>
      </c>
      <c r="H1" s="6" t="s">
        <v>17</v>
      </c>
      <c r="I1" s="6" t="s">
        <v>18</v>
      </c>
      <c r="J1" s="6" t="s">
        <v>89</v>
      </c>
    </row>
    <row r="2" spans="1:10">
      <c r="A2" s="3" t="str">
        <f>CADASTRO!A2</f>
        <v>MAT001</v>
      </c>
      <c r="B2" s="3" t="str">
        <f>CADASTRO!B2</f>
        <v>Papel Fotográfico A4</v>
      </c>
      <c r="C2" s="3">
        <f>CADASTRO!E2</f>
        <v>200</v>
      </c>
      <c r="D2" s="4">
        <f>SUMIFS(MOVIMENTACOES!D:D, MOVIMENTACOES!B:B, B2, MOVIMENTACOES!C:C, "Entrada")</f>
        <v>100</v>
      </c>
      <c r="E2" s="3">
        <f>SUMIFS(MOVIMENTACOES!D:D, MOVIMENTACOES!B:B, B2, MOVIMENTACOES!C:C,"Saída")</f>
        <v>290</v>
      </c>
      <c r="F2" s="3">
        <f>C2 + D2 - E2</f>
        <v>10</v>
      </c>
      <c r="G2" s="3">
        <f>CADASTRO!F2</f>
        <v>50</v>
      </c>
      <c r="H2" s="5" t="str">
        <f>IF(F2=0, "ZERADO", IF(F2 &lt;= G2, "BAIXO", "NORMAL"))</f>
        <v>BAIXO</v>
      </c>
      <c r="I2" s="3">
        <f t="shared" ref="I2:I26" si="0">IF(F2 &lt; G2, G2 - F2, "0")</f>
        <v>40</v>
      </c>
      <c r="J2" s="5" t="str">
        <f t="shared" ref="J2:J26" si="1">IF(H2="BAIXO","Comprar","Não comprar")</f>
        <v>Comprar</v>
      </c>
    </row>
    <row r="3" spans="1:10">
      <c r="A3" s="3" t="str">
        <f>CADASTRO!A3</f>
        <v>MAT002</v>
      </c>
      <c r="B3" s="3" t="str">
        <f>CADASTRO!B3</f>
        <v>Papel Fotográfico A3</v>
      </c>
      <c r="C3" s="3">
        <f>CADASTRO!E3</f>
        <v>100</v>
      </c>
      <c r="D3" s="4">
        <f>SUMIFS(MOVIMENTACOES!D:D, MOVIMENTACOES!B:B, B3, MOVIMENTACOES!C:C, "Entrada")</f>
        <v>0</v>
      </c>
      <c r="E3" s="3">
        <f>SUMIFS(MOVIMENTACOES!D:D, MOVIMENTACOES!B:B, B3, MOVIMENTACOES!C:C,"Saída")</f>
        <v>0</v>
      </c>
      <c r="F3" s="3">
        <f t="shared" ref="F3:F26" si="2">C3 + D3 - E3</f>
        <v>100</v>
      </c>
      <c r="G3" s="3">
        <f>CADASTRO!F3</f>
        <v>20</v>
      </c>
      <c r="H3" s="5" t="str">
        <f t="shared" ref="H3:H26" si="3">IF(F3=0, "ZERADO", IF(F3 &lt;= G3, "BAIXO", "NORMAL"))</f>
        <v>NORMAL</v>
      </c>
      <c r="I3" s="3" t="str">
        <f t="shared" si="0"/>
        <v>0</v>
      </c>
      <c r="J3" s="5" t="str">
        <f t="shared" si="1"/>
        <v>Não comprar</v>
      </c>
    </row>
    <row r="4" spans="1:10">
      <c r="A4" s="3" t="str">
        <f>CADASTRO!A4</f>
        <v>MAT003</v>
      </c>
      <c r="B4" s="3" t="str">
        <f>CADASTRO!B4</f>
        <v>Tinta Preta</v>
      </c>
      <c r="C4" s="3">
        <f>CADASTRO!E4</f>
        <v>12</v>
      </c>
      <c r="D4" s="4">
        <f>SUMIFS(MOVIMENTACOES!D:D, MOVIMENTACOES!B:B, B4, MOVIMENTACOES!C:C, "Entrada")</f>
        <v>6</v>
      </c>
      <c r="E4" s="3">
        <f>SUMIFS(MOVIMENTACOES!D:D, MOVIMENTACOES!B:B, B4, MOVIMENTACOES!C:C,"Saída")</f>
        <v>15</v>
      </c>
      <c r="F4" s="3">
        <f t="shared" si="2"/>
        <v>3</v>
      </c>
      <c r="G4" s="3">
        <f>CADASTRO!F4</f>
        <v>10</v>
      </c>
      <c r="H4" s="5" t="str">
        <f t="shared" si="3"/>
        <v>BAIXO</v>
      </c>
      <c r="I4" s="3">
        <f t="shared" si="0"/>
        <v>7</v>
      </c>
      <c r="J4" s="5" t="str">
        <f t="shared" si="1"/>
        <v>Comprar</v>
      </c>
    </row>
    <row r="5" spans="1:10">
      <c r="A5" s="3" t="str">
        <f>CADASTRO!A5</f>
        <v>MAT004</v>
      </c>
      <c r="B5" s="3" t="str">
        <f>CADASTRO!B5</f>
        <v>Tinta Colorida (Ciano)</v>
      </c>
      <c r="C5" s="3">
        <f>CADASTRO!E5</f>
        <v>8</v>
      </c>
      <c r="D5" s="4">
        <f>SUMIFS(MOVIMENTACOES!D:D, MOVIMENTACOES!B:B, B5, MOVIMENTACOES!C:C, "Entrada")</f>
        <v>0</v>
      </c>
      <c r="E5" s="3">
        <f>SUMIFS(MOVIMENTACOES!D:D, MOVIMENTACOES!B:B, B5, MOVIMENTACOES!C:C,"Saída")</f>
        <v>0</v>
      </c>
      <c r="F5" s="3">
        <f t="shared" si="2"/>
        <v>8</v>
      </c>
      <c r="G5" s="3">
        <f>CADASTRO!F5</f>
        <v>10</v>
      </c>
      <c r="H5" s="5" t="str">
        <f t="shared" si="3"/>
        <v>BAIXO</v>
      </c>
      <c r="I5" s="3">
        <f t="shared" si="0"/>
        <v>2</v>
      </c>
      <c r="J5" s="5" t="str">
        <f t="shared" si="1"/>
        <v>Comprar</v>
      </c>
    </row>
    <row r="6" spans="1:10">
      <c r="A6" s="3" t="str">
        <f>CADASTRO!A6</f>
        <v>MAT005</v>
      </c>
      <c r="B6" s="3" t="str">
        <f>CADASTRO!B6</f>
        <v>Tinta Colorida (Magenta)</v>
      </c>
      <c r="C6" s="3">
        <f>CADASTRO!E6</f>
        <v>8</v>
      </c>
      <c r="D6" s="4">
        <f>SUMIFS(MOVIMENTACOES!D:D, MOVIMENTACOES!B:B, B6, MOVIMENTACOES!C:C, "Entrada")</f>
        <v>0</v>
      </c>
      <c r="E6" s="3">
        <f>SUMIFS(MOVIMENTACOES!D:D, MOVIMENTACOES!B:B, B6, MOVIMENTACOES!C:C,"Saída")</f>
        <v>0</v>
      </c>
      <c r="F6" s="3">
        <f t="shared" si="2"/>
        <v>8</v>
      </c>
      <c r="G6" s="3">
        <f>CADASTRO!F6</f>
        <v>10</v>
      </c>
      <c r="H6" s="5" t="str">
        <f t="shared" si="3"/>
        <v>BAIXO</v>
      </c>
      <c r="I6" s="3">
        <f t="shared" si="0"/>
        <v>2</v>
      </c>
      <c r="J6" s="5" t="str">
        <f t="shared" si="1"/>
        <v>Comprar</v>
      </c>
    </row>
    <row r="7" spans="1:10">
      <c r="A7" s="3" t="str">
        <f>CADASTRO!A7</f>
        <v>MAT006</v>
      </c>
      <c r="B7" s="3" t="str">
        <f>CADASTRO!B7</f>
        <v>Tinta Colorida (Amarelo)</v>
      </c>
      <c r="C7" s="3">
        <f>CADASTRO!E7</f>
        <v>8</v>
      </c>
      <c r="D7" s="4">
        <f>SUMIFS(MOVIMENTACOES!D:D, MOVIMENTACOES!B:B, B7, MOVIMENTACOES!C:C, "Entrada")</f>
        <v>0</v>
      </c>
      <c r="E7" s="3">
        <f>SUMIFS(MOVIMENTACOES!D:D, MOVIMENTACOES!B:B, B7, MOVIMENTACOES!C:C,"Saída")</f>
        <v>0</v>
      </c>
      <c r="F7" s="3">
        <f t="shared" si="2"/>
        <v>8</v>
      </c>
      <c r="G7" s="3">
        <f>CADASTRO!F7</f>
        <v>10</v>
      </c>
      <c r="H7" s="5" t="str">
        <f t="shared" si="3"/>
        <v>BAIXO</v>
      </c>
      <c r="I7" s="3">
        <f t="shared" si="0"/>
        <v>2</v>
      </c>
      <c r="J7" s="5" t="str">
        <f t="shared" si="1"/>
        <v>Comprar</v>
      </c>
    </row>
    <row r="8" spans="1:10">
      <c r="A8" s="3" t="str">
        <f>CADASTRO!A8</f>
        <v>MAT007</v>
      </c>
      <c r="B8" s="3" t="str">
        <f>CADASTRO!B8</f>
        <v>Cordão de Nylon 2mm</v>
      </c>
      <c r="C8" s="3">
        <f>CADASTRO!E8</f>
        <v>150</v>
      </c>
      <c r="D8" s="4">
        <f>SUMIFS(MOVIMENTACOES!D:D, MOVIMENTACOES!B:B, B8, MOVIMENTACOES!C:C, "Entrada")</f>
        <v>50</v>
      </c>
      <c r="E8" s="3">
        <f>SUMIFS(MOVIMENTACOES!D:D, MOVIMENTACOES!B:B, B8, MOVIMENTACOES!C:C,"Saída")</f>
        <v>180</v>
      </c>
      <c r="F8" s="3">
        <f t="shared" si="2"/>
        <v>20</v>
      </c>
      <c r="G8" s="3">
        <f>CADASTRO!F8</f>
        <v>30</v>
      </c>
      <c r="H8" s="5" t="str">
        <f t="shared" si="3"/>
        <v>BAIXO</v>
      </c>
      <c r="I8" s="3">
        <f t="shared" si="0"/>
        <v>10</v>
      </c>
      <c r="J8" s="5" t="str">
        <f t="shared" si="1"/>
        <v>Comprar</v>
      </c>
    </row>
    <row r="9" spans="1:10">
      <c r="A9" s="3" t="str">
        <f>CADASTRO!A9</f>
        <v>MAT008</v>
      </c>
      <c r="B9" s="3" t="str">
        <f>CADASTRO!B9</f>
        <v>Cordão de Nylon 4mm</v>
      </c>
      <c r="C9" s="3">
        <f>CADASTRO!E9</f>
        <v>80</v>
      </c>
      <c r="D9" s="4">
        <f>SUMIFS(MOVIMENTACOES!D:D, MOVIMENTACOES!B:B, B9, MOVIMENTACOES!C:C, "Entrada")</f>
        <v>0</v>
      </c>
      <c r="E9" s="3">
        <f>SUMIFS(MOVIMENTACOES!D:D, MOVIMENTACOES!B:B, B9, MOVIMENTACOES!C:C,"Saída")</f>
        <v>0</v>
      </c>
      <c r="F9" s="3">
        <f t="shared" si="2"/>
        <v>80</v>
      </c>
      <c r="G9" s="3">
        <f>CADASTRO!F9</f>
        <v>15</v>
      </c>
      <c r="H9" s="5" t="str">
        <f t="shared" si="3"/>
        <v>NORMAL</v>
      </c>
      <c r="I9" s="3" t="str">
        <f t="shared" si="0"/>
        <v>0</v>
      </c>
      <c r="J9" s="5" t="str">
        <f t="shared" si="1"/>
        <v>Não comprar</v>
      </c>
    </row>
    <row r="10" spans="1:10">
      <c r="A10" s="3" t="str">
        <f>CADASTRO!A10</f>
        <v>MAT009</v>
      </c>
      <c r="B10" s="3" t="str">
        <f>CADASTRO!B10</f>
        <v>Cordão de Nylon 6mm</v>
      </c>
      <c r="C10" s="3">
        <f>CADASTRO!E10</f>
        <v>50</v>
      </c>
      <c r="D10" s="4">
        <f>SUMIFS(MOVIMENTACOES!D:D, MOVIMENTACOES!B:B, B10, MOVIMENTACOES!C:C, "Entrada")</f>
        <v>0</v>
      </c>
      <c r="E10" s="3">
        <f>SUMIFS(MOVIMENTACOES!D:D, MOVIMENTACOES!B:B, B10, MOVIMENTACOES!C:C,"Saída")</f>
        <v>0</v>
      </c>
      <c r="F10" s="3">
        <f t="shared" si="2"/>
        <v>50</v>
      </c>
      <c r="G10" s="3">
        <f>CADASTRO!F10</f>
        <v>10</v>
      </c>
      <c r="H10" s="5" t="str">
        <f t="shared" si="3"/>
        <v>NORMAL</v>
      </c>
      <c r="I10" s="3" t="str">
        <f t="shared" si="0"/>
        <v>0</v>
      </c>
      <c r="J10" s="5" t="str">
        <f t="shared" si="1"/>
        <v>Não comprar</v>
      </c>
    </row>
    <row r="11" spans="1:10">
      <c r="A11" s="3" t="str">
        <f>CADASTRO!A11</f>
        <v>MAT010</v>
      </c>
      <c r="B11" s="3" t="str">
        <f>CADASTRO!B11</f>
        <v>Embalagem Plástica Pequena</v>
      </c>
      <c r="C11" s="3">
        <f>CADASTRO!E11</f>
        <v>40</v>
      </c>
      <c r="D11" s="4">
        <f>SUMIFS(MOVIMENTACOES!D:D, MOVIMENTACOES!B:B, B11, MOVIMENTACOES!C:C, "Entrada")</f>
        <v>0</v>
      </c>
      <c r="E11" s="3">
        <f>SUMIFS(MOVIMENTACOES!D:D, MOVIMENTACOES!B:B, B11, MOVIMENTACOES!C:C,"Saída")</f>
        <v>35</v>
      </c>
      <c r="F11" s="3">
        <f t="shared" si="2"/>
        <v>5</v>
      </c>
      <c r="G11" s="3">
        <f>CADASTRO!F11</f>
        <v>10</v>
      </c>
      <c r="H11" s="5" t="str">
        <f t="shared" si="3"/>
        <v>BAIXO</v>
      </c>
      <c r="I11" s="3">
        <f t="shared" si="0"/>
        <v>5</v>
      </c>
      <c r="J11" s="5" t="str">
        <f t="shared" si="1"/>
        <v>Comprar</v>
      </c>
    </row>
    <row r="12" spans="1:10">
      <c r="A12" s="3" t="str">
        <f>CADASTRO!A12</f>
        <v>MAT011</v>
      </c>
      <c r="B12" s="3" t="str">
        <f>CADASTRO!B12</f>
        <v>Embalagem Plástica Média</v>
      </c>
      <c r="C12" s="3">
        <f>CADASTRO!E12</f>
        <v>25</v>
      </c>
      <c r="D12" s="4">
        <f>SUMIFS(MOVIMENTACOES!D:D, MOVIMENTACOES!B:B, B12, MOVIMENTACOES!C:C, "Entrada")</f>
        <v>0</v>
      </c>
      <c r="E12" s="3">
        <f>SUMIFS(MOVIMENTACOES!D:D, MOVIMENTACOES!B:B, B12, MOVIMENTACOES!C:C,"Saída")</f>
        <v>0</v>
      </c>
      <c r="F12" s="3">
        <f t="shared" si="2"/>
        <v>25</v>
      </c>
      <c r="G12" s="3">
        <f>CADASTRO!F12</f>
        <v>10</v>
      </c>
      <c r="H12" s="5" t="str">
        <f t="shared" si="3"/>
        <v>NORMAL</v>
      </c>
      <c r="I12" s="3" t="str">
        <f t="shared" si="0"/>
        <v>0</v>
      </c>
      <c r="J12" s="5" t="str">
        <f t="shared" si="1"/>
        <v>Não comprar</v>
      </c>
    </row>
    <row r="13" spans="1:10">
      <c r="A13" s="3" t="str">
        <f>CADASTRO!A13</f>
        <v>MAT012</v>
      </c>
      <c r="B13" s="3" t="str">
        <f>CADASTRO!B13</f>
        <v>Embalagem Plástica Grande</v>
      </c>
      <c r="C13" s="3">
        <f>CADASTRO!E13</f>
        <v>15</v>
      </c>
      <c r="D13" s="4">
        <f>SUMIFS(MOVIMENTACOES!D:D, MOVIMENTACOES!B:B, B13, MOVIMENTACOES!C:C, "Entrada")</f>
        <v>0</v>
      </c>
      <c r="E13" s="3">
        <f>SUMIFS(MOVIMENTACOES!D:D, MOVIMENTACOES!B:B, B13, MOVIMENTACOES!C:C,"Saída")</f>
        <v>0</v>
      </c>
      <c r="F13" s="3">
        <f t="shared" si="2"/>
        <v>15</v>
      </c>
      <c r="G13" s="3">
        <f>CADASTRO!F13</f>
        <v>10</v>
      </c>
      <c r="H13" s="5" t="str">
        <f t="shared" si="3"/>
        <v>NORMAL</v>
      </c>
      <c r="I13" s="3" t="str">
        <f t="shared" si="0"/>
        <v>0</v>
      </c>
      <c r="J13" s="5" t="str">
        <f t="shared" si="1"/>
        <v>Não comprar</v>
      </c>
    </row>
    <row r="14" spans="1:10">
      <c r="A14" s="3" t="str">
        <f>CADASTRO!A14</f>
        <v>MAT013</v>
      </c>
      <c r="B14" s="3" t="str">
        <f>CADASTRO!B14</f>
        <v>Rolo de Adesivo Transparente</v>
      </c>
      <c r="C14" s="3">
        <f>CADASTRO!E14</f>
        <v>20</v>
      </c>
      <c r="D14" s="4">
        <f>SUMIFS(MOVIMENTACOES!D:D, MOVIMENTACOES!B:B, B14, MOVIMENTACOES!C:C, "Entrada")</f>
        <v>20</v>
      </c>
      <c r="E14" s="3">
        <f>SUMIFS(MOVIMENTACOES!D:D, MOVIMENTACOES!B:B, B14, MOVIMENTACOES!C:C,"Saída")</f>
        <v>5</v>
      </c>
      <c r="F14" s="3">
        <f t="shared" si="2"/>
        <v>35</v>
      </c>
      <c r="G14" s="3">
        <f>CADASTRO!F14</f>
        <v>10</v>
      </c>
      <c r="H14" s="5" t="str">
        <f t="shared" si="3"/>
        <v>NORMAL</v>
      </c>
      <c r="I14" s="3" t="str">
        <f t="shared" si="0"/>
        <v>0</v>
      </c>
      <c r="J14" s="5" t="str">
        <f t="shared" si="1"/>
        <v>Não comprar</v>
      </c>
    </row>
    <row r="15" spans="1:10">
      <c r="A15" s="3" t="str">
        <f>CADASTRO!A15</f>
        <v>MAT014</v>
      </c>
      <c r="B15" s="3" t="str">
        <f>CADASTRO!B15</f>
        <v>Rolo de Adesivo Dupla Face</v>
      </c>
      <c r="C15" s="3">
        <f>CADASTRO!E15</f>
        <v>12</v>
      </c>
      <c r="D15" s="4">
        <f>SUMIFS(MOVIMENTACOES!D:D, MOVIMENTACOES!B:B, B15, MOVIMENTACOES!C:C, "Entrada")</f>
        <v>0</v>
      </c>
      <c r="E15" s="3">
        <f>SUMIFS(MOVIMENTACOES!D:D, MOVIMENTACOES!B:B, B15, MOVIMENTACOES!C:C,"Saída")</f>
        <v>9</v>
      </c>
      <c r="F15" s="3">
        <f t="shared" si="2"/>
        <v>3</v>
      </c>
      <c r="G15" s="3">
        <f>CADASTRO!F15</f>
        <v>10</v>
      </c>
      <c r="H15" s="5" t="str">
        <f t="shared" si="3"/>
        <v>BAIXO</v>
      </c>
      <c r="I15" s="3">
        <f t="shared" si="0"/>
        <v>7</v>
      </c>
      <c r="J15" s="5" t="str">
        <f t="shared" si="1"/>
        <v>Comprar</v>
      </c>
    </row>
    <row r="16" spans="1:10">
      <c r="A16" s="3" t="str">
        <f>CADASTRO!A16</f>
        <v>MAT015</v>
      </c>
      <c r="B16" s="3" t="str">
        <f>CADASTRO!B16</f>
        <v>Fita Crepe 24mm</v>
      </c>
      <c r="C16" s="3">
        <f>CADASTRO!E16</f>
        <v>30</v>
      </c>
      <c r="D16" s="4">
        <f>SUMIFS(MOVIMENTACOES!D:D, MOVIMENTACOES!B:B, B16, MOVIMENTACOES!C:C, "Entrada")</f>
        <v>30</v>
      </c>
      <c r="E16" s="3">
        <f>SUMIFS(MOVIMENTACOES!D:D, MOVIMENTACOES!B:B, B16, MOVIMENTACOES!C:C,"Saída")</f>
        <v>3</v>
      </c>
      <c r="F16" s="3">
        <f t="shared" si="2"/>
        <v>57</v>
      </c>
      <c r="G16" s="3">
        <f>CADASTRO!F16</f>
        <v>8</v>
      </c>
      <c r="H16" s="5" t="str">
        <f t="shared" si="3"/>
        <v>NORMAL</v>
      </c>
      <c r="I16" s="3" t="str">
        <f t="shared" si="0"/>
        <v>0</v>
      </c>
      <c r="J16" s="5" t="str">
        <f t="shared" si="1"/>
        <v>Não comprar</v>
      </c>
    </row>
    <row r="17" spans="1:10">
      <c r="A17" s="3" t="str">
        <f>CADASTRO!A17</f>
        <v>MAT016</v>
      </c>
      <c r="B17" s="3" t="str">
        <f>CADASTRO!B17</f>
        <v>Fita Crepe 48mm</v>
      </c>
      <c r="C17" s="3">
        <f>CADASTRO!E17</f>
        <v>20</v>
      </c>
      <c r="D17" s="4">
        <f>SUMIFS(MOVIMENTACOES!D:D, MOVIMENTACOES!B:B, B17, MOVIMENTACOES!C:C, "Entrada")</f>
        <v>0</v>
      </c>
      <c r="E17" s="3">
        <f>SUMIFS(MOVIMENTACOES!D:D, MOVIMENTACOES!B:B, B17, MOVIMENTACOES!C:C,"Saída")</f>
        <v>0</v>
      </c>
      <c r="F17" s="3">
        <f t="shared" si="2"/>
        <v>20</v>
      </c>
      <c r="G17" s="3">
        <f>CADASTRO!F17</f>
        <v>10</v>
      </c>
      <c r="H17" s="5" t="str">
        <f t="shared" si="3"/>
        <v>NORMAL</v>
      </c>
      <c r="I17" s="3" t="str">
        <f t="shared" si="0"/>
        <v>0</v>
      </c>
      <c r="J17" s="5" t="str">
        <f t="shared" si="1"/>
        <v>Não comprar</v>
      </c>
    </row>
    <row r="18" spans="1:10">
      <c r="A18" s="3" t="str">
        <f>CADASTRO!A18</f>
        <v>MAT017</v>
      </c>
      <c r="B18" s="3" t="str">
        <f>CADASTRO!B18</f>
        <v>Cola Branca 500ml</v>
      </c>
      <c r="C18" s="3">
        <f>CADASTRO!E18</f>
        <v>10</v>
      </c>
      <c r="D18" s="4">
        <f>SUMIFS(MOVIMENTACOES!D:D, MOVIMENTACOES!B:B, B18, MOVIMENTACOES!C:C, "Entrada")</f>
        <v>0</v>
      </c>
      <c r="E18" s="3">
        <f>SUMIFS(MOVIMENTACOES!D:D, MOVIMENTACOES!B:B, B18, MOVIMENTACOES!C:C,"Saída")</f>
        <v>0</v>
      </c>
      <c r="F18" s="3">
        <f t="shared" si="2"/>
        <v>10</v>
      </c>
      <c r="G18" s="3">
        <f>CADASTRO!F18</f>
        <v>15</v>
      </c>
      <c r="H18" s="5" t="str">
        <f t="shared" si="3"/>
        <v>BAIXO</v>
      </c>
      <c r="I18" s="3">
        <f t="shared" si="0"/>
        <v>5</v>
      </c>
      <c r="J18" s="5" t="str">
        <f t="shared" si="1"/>
        <v>Comprar</v>
      </c>
    </row>
    <row r="19" spans="1:10">
      <c r="A19" s="3" t="str">
        <f>CADASTRO!A19</f>
        <v>MAT018</v>
      </c>
      <c r="B19" s="3" t="str">
        <f>CADASTRO!B19</f>
        <v>Cola Quente (Bastão)</v>
      </c>
      <c r="C19" s="3">
        <f>CADASTRO!E19</f>
        <v>50</v>
      </c>
      <c r="D19" s="4">
        <f>SUMIFS(MOVIMENTACOES!D:D, MOVIMENTACOES!B:B, B19, MOVIMENTACOES!C:C, "Entrada")</f>
        <v>0</v>
      </c>
      <c r="E19" s="3">
        <f>SUMIFS(MOVIMENTACOES!D:D, MOVIMENTACOES!B:B, B19, MOVIMENTACOES!C:C,"Saída")</f>
        <v>0</v>
      </c>
      <c r="F19" s="3">
        <f t="shared" si="2"/>
        <v>50</v>
      </c>
      <c r="G19" s="3">
        <f>CADASTRO!F19</f>
        <v>10</v>
      </c>
      <c r="H19" s="5" t="str">
        <f t="shared" si="3"/>
        <v>NORMAL</v>
      </c>
      <c r="I19" s="3" t="str">
        <f t="shared" si="0"/>
        <v>0</v>
      </c>
      <c r="J19" s="5" t="str">
        <f t="shared" si="1"/>
        <v>Não comprar</v>
      </c>
    </row>
    <row r="20" spans="1:10">
      <c r="A20" s="3" t="str">
        <f>CADASTRO!A20</f>
        <v>MAT019</v>
      </c>
      <c r="B20" s="3" t="str">
        <f>CADASTRO!B20</f>
        <v>Papel Cartão A4</v>
      </c>
      <c r="C20" s="3">
        <f>CADASTRO!E20</f>
        <v>300</v>
      </c>
      <c r="D20" s="4">
        <f>SUMIFS(MOVIMENTACOES!D:D, MOVIMENTACOES!B:B, B20, MOVIMENTACOES!C:C, "Entrada")</f>
        <v>0</v>
      </c>
      <c r="E20" s="3">
        <f>SUMIFS(MOVIMENTACOES!D:D, MOVIMENTACOES!B:B, B20, MOVIMENTACOES!C:C,"Saída")</f>
        <v>0</v>
      </c>
      <c r="F20" s="3">
        <f t="shared" si="2"/>
        <v>300</v>
      </c>
      <c r="G20" s="3">
        <f>CADASTRO!F20</f>
        <v>50</v>
      </c>
      <c r="H20" s="5" t="str">
        <f t="shared" si="3"/>
        <v>NORMAL</v>
      </c>
      <c r="I20" s="3" t="str">
        <f t="shared" si="0"/>
        <v>0</v>
      </c>
      <c r="J20" s="5" t="str">
        <f t="shared" si="1"/>
        <v>Não comprar</v>
      </c>
    </row>
    <row r="21" spans="1:10">
      <c r="A21" s="3" t="str">
        <f>CADASTRO!A21</f>
        <v>MAT020</v>
      </c>
      <c r="B21" s="3" t="str">
        <f>CADASTRO!B21</f>
        <v>Caixa de Armazenamento (Pequena)</v>
      </c>
      <c r="C21" s="3">
        <f>CADASTRO!E21</f>
        <v>15</v>
      </c>
      <c r="D21" s="4">
        <f>SUMIFS(MOVIMENTACOES!D:D, MOVIMENTACOES!B:B, B21, MOVIMENTACOES!C:C, "Entrada")</f>
        <v>0</v>
      </c>
      <c r="E21" s="3">
        <f>SUMIFS(MOVIMENTACOES!D:D, MOVIMENTACOES!B:B, B21, MOVIMENTACOES!C:C,"Saída")</f>
        <v>0</v>
      </c>
      <c r="F21" s="3">
        <f t="shared" si="2"/>
        <v>15</v>
      </c>
      <c r="G21" s="3">
        <f>CADASTRO!F21</f>
        <v>10</v>
      </c>
      <c r="H21" s="5" t="str">
        <f t="shared" si="3"/>
        <v>NORMAL</v>
      </c>
      <c r="I21" s="3" t="str">
        <f t="shared" si="0"/>
        <v>0</v>
      </c>
      <c r="J21" s="5" t="str">
        <f t="shared" si="1"/>
        <v>Não comprar</v>
      </c>
    </row>
    <row r="22" spans="1:10">
      <c r="A22" s="3" t="str">
        <f>CADASTRO!A22</f>
        <v>MAT021</v>
      </c>
      <c r="B22" s="3" t="str">
        <f>CADASTRO!B22</f>
        <v>Caixa de Armazenamento (Média)</v>
      </c>
      <c r="C22" s="3">
        <f>CADASTRO!E22</f>
        <v>10</v>
      </c>
      <c r="D22" s="4">
        <f>SUMIFS(MOVIMENTACOES!D:D, MOVIMENTACOES!B:B, B22, MOVIMENTACOES!C:C, "Entrada")</f>
        <v>0</v>
      </c>
      <c r="E22" s="3">
        <f>SUMIFS(MOVIMENTACOES!D:D, MOVIMENTACOES!B:B, B22, MOVIMENTACOES!C:C,"Saída")</f>
        <v>0</v>
      </c>
      <c r="F22" s="3">
        <f t="shared" si="2"/>
        <v>10</v>
      </c>
      <c r="G22" s="3">
        <f>CADASTRO!F22</f>
        <v>15</v>
      </c>
      <c r="H22" s="5" t="str">
        <f t="shared" si="3"/>
        <v>BAIXO</v>
      </c>
      <c r="I22" s="3">
        <f t="shared" si="0"/>
        <v>5</v>
      </c>
      <c r="J22" s="5" t="str">
        <f t="shared" si="1"/>
        <v>Comprar</v>
      </c>
    </row>
    <row r="23" spans="1:10">
      <c r="A23" s="3" t="str">
        <f>CADASTRO!A23</f>
        <v>MAT022</v>
      </c>
      <c r="B23" s="3" t="str">
        <f>CADASTRO!B23</f>
        <v>Caixa de Armazenamento (Grande)</v>
      </c>
      <c r="C23" s="3">
        <f>CADASTRO!E23</f>
        <v>6</v>
      </c>
      <c r="D23" s="4">
        <f>SUMIFS(MOVIMENTACOES!D:D, MOVIMENTACOES!B:B, B23, MOVIMENTACOES!C:C, "Entrada")</f>
        <v>0</v>
      </c>
      <c r="E23" s="3">
        <f>SUMIFS(MOVIMENTACOES!D:D, MOVIMENTACOES!B:B, B23, MOVIMENTACOES!C:C,"Saída")</f>
        <v>0</v>
      </c>
      <c r="F23" s="3">
        <f t="shared" si="2"/>
        <v>6</v>
      </c>
      <c r="G23" s="3">
        <f>CADASTRO!F23</f>
        <v>10</v>
      </c>
      <c r="H23" s="5" t="str">
        <f t="shared" si="3"/>
        <v>BAIXO</v>
      </c>
      <c r="I23" s="3">
        <f t="shared" si="0"/>
        <v>4</v>
      </c>
      <c r="J23" s="5" t="str">
        <f t="shared" si="1"/>
        <v>Comprar</v>
      </c>
    </row>
    <row r="24" spans="1:10">
      <c r="A24" s="3" t="str">
        <f>CADASTRO!A24</f>
        <v>MAT023</v>
      </c>
      <c r="B24" s="3" t="str">
        <f>CADASTRO!B24</f>
        <v>Fio de Cobre 0,5mm</v>
      </c>
      <c r="C24" s="3">
        <f>CADASTRO!E24</f>
        <v>200</v>
      </c>
      <c r="D24" s="4">
        <f>SUMIFS(MOVIMENTACOES!D:D, MOVIMENTACOES!B:B, B24, MOVIMENTACOES!C:C, "Entrada")</f>
        <v>0</v>
      </c>
      <c r="E24" s="3">
        <f>SUMIFS(MOVIMENTACOES!D:D, MOVIMENTACOES!B:B, B24, MOVIMENTACOES!C:C,"Saída")</f>
        <v>0</v>
      </c>
      <c r="F24" s="3">
        <f t="shared" si="2"/>
        <v>200</v>
      </c>
      <c r="G24" s="3">
        <f>CADASTRO!F24</f>
        <v>60</v>
      </c>
      <c r="H24" s="5" t="str">
        <f t="shared" si="3"/>
        <v>NORMAL</v>
      </c>
      <c r="I24" s="3" t="str">
        <f t="shared" si="0"/>
        <v>0</v>
      </c>
      <c r="J24" s="5" t="str">
        <f t="shared" si="1"/>
        <v>Não comprar</v>
      </c>
    </row>
    <row r="25" spans="1:10">
      <c r="A25" s="3" t="str">
        <f>CADASTRO!A25</f>
        <v>MAT024</v>
      </c>
      <c r="B25" s="3" t="str">
        <f>CADASTRO!B25</f>
        <v>Placa de MDF 3mm</v>
      </c>
      <c r="C25" s="3">
        <f>CADASTRO!E25</f>
        <v>25</v>
      </c>
      <c r="D25" s="4">
        <f>SUMIFS(MOVIMENTACOES!D:D, MOVIMENTACOES!B:B, B25, MOVIMENTACOES!C:C, "Entrada")</f>
        <v>10</v>
      </c>
      <c r="E25" s="3">
        <f>SUMIFS(MOVIMENTACOES!D:D, MOVIMENTACOES!B:B, B25, MOVIMENTACOES!C:C,"Saída")</f>
        <v>0</v>
      </c>
      <c r="F25" s="3">
        <f t="shared" si="2"/>
        <v>35</v>
      </c>
      <c r="G25" s="3">
        <f>CADASTRO!F25</f>
        <v>10</v>
      </c>
      <c r="H25" s="5" t="str">
        <f t="shared" si="3"/>
        <v>NORMAL</v>
      </c>
      <c r="I25" s="3" t="str">
        <f t="shared" si="0"/>
        <v>0</v>
      </c>
      <c r="J25" s="5" t="str">
        <f t="shared" si="1"/>
        <v>Não comprar</v>
      </c>
    </row>
    <row r="26" spans="1:10">
      <c r="A26" s="3" t="str">
        <f>CADASTRO!A26</f>
        <v>MAT025</v>
      </c>
      <c r="B26" s="3" t="str">
        <f>CADASTRO!B26</f>
        <v>Placa de MDF 6mm</v>
      </c>
      <c r="C26" s="3">
        <f>CADASTRO!E26</f>
        <v>15</v>
      </c>
      <c r="D26" s="4">
        <f>SUMIFS(MOVIMENTACOES!D:D, MOVIMENTACOES!B:B, B26, MOVIMENTACOES!C:C, "Entrada")</f>
        <v>0</v>
      </c>
      <c r="E26" s="3">
        <f>SUMIFS(MOVIMENTACOES!D:D, MOVIMENTACOES!B:B, B26, MOVIMENTACOES!C:C,"Saída")</f>
        <v>0</v>
      </c>
      <c r="F26" s="3">
        <f t="shared" si="2"/>
        <v>15</v>
      </c>
      <c r="G26" s="3">
        <f>CADASTRO!F26</f>
        <v>10</v>
      </c>
      <c r="H26" s="5" t="str">
        <f t="shared" si="3"/>
        <v>NORMAL</v>
      </c>
      <c r="I26" s="3" t="str">
        <f t="shared" si="0"/>
        <v>0</v>
      </c>
      <c r="J26" s="5" t="str">
        <f t="shared" si="1"/>
        <v>Não comprar</v>
      </c>
    </row>
  </sheetData>
  <sheetProtection algorithmName="SHA-512" hashValue="i1chMxo2TPPsQmIiKk+RKDrIEtNq9tVDMNU0z8MG2lmFT+Su9Dr6J7g4grH89/nqL+VAwkh8aHrAvBeydmriZQ==" saltValue="k0TqPoV/WTdAeLBT5N2GPQ==" spinCount="100000" sheet="1" objects="1" scenarios="1"/>
  <conditionalFormatting sqref="J1:J26">
    <cfRule type="beginsWith" dxfId="0" priority="1" operator="beginsWith" text="Comprar">
      <formula>LEFT(J1,LEN("Comprar"))="Comprar"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</vt:lpstr>
      <vt:lpstr>MOVIMENTACOES</vt:lpstr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Λ .</dc:creator>
  <cp:lastModifiedBy>Λ .</cp:lastModifiedBy>
  <dcterms:created xsi:type="dcterms:W3CDTF">2026-08-16T19:02:13Z</dcterms:created>
  <dcterms:modified xsi:type="dcterms:W3CDTF">2026-08-16T23:46:13Z</dcterms:modified>
</cp:coreProperties>
</file>